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1da49650383cb92/Desktop/"/>
    </mc:Choice>
  </mc:AlternateContent>
  <xr:revisionPtr revIDLastSave="0" documentId="8_{AC152877-E5B2-4503-9CE2-34FD7B54EF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L6" i="1"/>
  <c r="L5" i="1"/>
  <c r="L4" i="1"/>
  <c r="L3" i="1"/>
  <c r="L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G3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</calcChain>
</file>

<file path=xl/sharedStrings.xml><?xml version="1.0" encoding="utf-8"?>
<sst xmlns="http://schemas.openxmlformats.org/spreadsheetml/2006/main" count="122" uniqueCount="91">
  <si>
    <t>Product ID</t>
  </si>
  <si>
    <t>Product Name</t>
  </si>
  <si>
    <t>Category</t>
  </si>
  <si>
    <t>Price ($)</t>
  </si>
  <si>
    <t>01-Jan-IN</t>
  </si>
  <si>
    <t>Wireless Headphones</t>
  </si>
  <si>
    <t>Electronics</t>
  </si>
  <si>
    <t>02-Jan-US</t>
  </si>
  <si>
    <t>Notebook Set</t>
  </si>
  <si>
    <t>Stationery</t>
  </si>
  <si>
    <t>03-Feb-UK</t>
  </si>
  <si>
    <t>Travel Backpack</t>
  </si>
  <si>
    <t>Fashion</t>
  </si>
  <si>
    <t>04-Feb-IN</t>
  </si>
  <si>
    <t>USB-C Cable</t>
  </si>
  <si>
    <t>05-Mar-CA</t>
  </si>
  <si>
    <t>Ceramic Mug</t>
  </si>
  <si>
    <t>Home &amp; Kitchen</t>
  </si>
  <si>
    <t>06-Mar-IN</t>
  </si>
  <si>
    <t>Desk Lamp</t>
  </si>
  <si>
    <t>07-Apr-US</t>
  </si>
  <si>
    <t>Ballpoint Pens</t>
  </si>
  <si>
    <t>08-Apr-UK</t>
  </si>
  <si>
    <t>Bluetooth Speaker</t>
  </si>
  <si>
    <t>09-May-IN</t>
  </si>
  <si>
    <t>Cotton T-Shirt</t>
  </si>
  <si>
    <t>10-May-CA</t>
  </si>
  <si>
    <t>Water Bottle</t>
  </si>
  <si>
    <t>11-Jun-IN</t>
  </si>
  <si>
    <t>Computer Mouse</t>
  </si>
  <si>
    <t>12-Jun-US</t>
  </si>
  <si>
    <t>Sticky Notes</t>
  </si>
  <si>
    <t>13-Jul-UK</t>
  </si>
  <si>
    <t>Running Shoes</t>
  </si>
  <si>
    <t>14-Jul-IN</t>
  </si>
  <si>
    <t>Phone Stand</t>
  </si>
  <si>
    <t>15-Aug-CA</t>
  </si>
  <si>
    <t>Cushion Cover</t>
  </si>
  <si>
    <t>16-Aug-IN</t>
  </si>
  <si>
    <t>External SSD</t>
  </si>
  <si>
    <t>17-Sep-US</t>
  </si>
  <si>
    <t>Highlighter Pack</t>
  </si>
  <si>
    <t>18-Sep-UK</t>
  </si>
  <si>
    <t>Sunglasses</t>
  </si>
  <si>
    <t>19-Oct-IN</t>
  </si>
  <si>
    <t>Lunch Box</t>
  </si>
  <si>
    <t>20-Oct-CA</t>
  </si>
  <si>
    <t>Power Bank</t>
  </si>
  <si>
    <t>21-Nov-IN</t>
  </si>
  <si>
    <t>A4 Paper Ream</t>
  </si>
  <si>
    <t>22-Nov-US</t>
  </si>
  <si>
    <t>Denim Jeans</t>
  </si>
  <si>
    <t>23-Dec-UK</t>
  </si>
  <si>
    <t>Electric Kettle</t>
  </si>
  <si>
    <t>24-Dec-IN</t>
  </si>
  <si>
    <t>Keyboard</t>
  </si>
  <si>
    <t>25-Jan-CA</t>
  </si>
  <si>
    <t>File Folder</t>
  </si>
  <si>
    <t>26-Feb-IN</t>
  </si>
  <si>
    <t>Wall Clock</t>
  </si>
  <si>
    <t>27-Mar-US</t>
  </si>
  <si>
    <t>Smart Watch</t>
  </si>
  <si>
    <t>28-Apr-UK</t>
  </si>
  <si>
    <t>Baseball Cap</t>
  </si>
  <si>
    <t>29-May-IN</t>
  </si>
  <si>
    <t>Gel Pen Set</t>
  </si>
  <si>
    <t>30-Jun-CA</t>
  </si>
  <si>
    <t>Table Mat Set</t>
  </si>
  <si>
    <t>31-Jul-IN</t>
  </si>
  <si>
    <t>Webcam</t>
  </si>
  <si>
    <t>32-Aug-US</t>
  </si>
  <si>
    <t>Hand Towel</t>
  </si>
  <si>
    <t>33-Sep-UK</t>
  </si>
  <si>
    <t>Leather Wallet</t>
  </si>
  <si>
    <t>34-Oct-IN</t>
  </si>
  <si>
    <t>Calculator</t>
  </si>
  <si>
    <t>35-Nov-CA</t>
  </si>
  <si>
    <t>Drawing Book</t>
  </si>
  <si>
    <t>Price Range</t>
  </si>
  <si>
    <t>Day</t>
  </si>
  <si>
    <t>Country Code</t>
  </si>
  <si>
    <t>Month</t>
  </si>
  <si>
    <t>TASK</t>
  </si>
  <si>
    <t>Result</t>
  </si>
  <si>
    <t>Total Price of all products</t>
  </si>
  <si>
    <t>Number of products</t>
  </si>
  <si>
    <t>Average product price</t>
  </si>
  <si>
    <t>Minimum product price</t>
  </si>
  <si>
    <t>Maximum product price</t>
  </si>
  <si>
    <t xml:space="preserve">Total price for electronics </t>
  </si>
  <si>
    <t>Count of products priced below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</si>
</sst>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" fontId="1" fillId="0" borderId="1" xfId="0" applyNumberFormat="1" applyFont="1" applyBorder="1"/>
    <xf numFmtId="0" fontId="2" fillId="0" borderId="0" xfId="0" applyFont="1"/>
    <xf numFmtId="0" fontId="3" fillId="0" borderId="5" xfId="0" applyFont="1" applyBorder="1"/>
    <xf numFmtId="0" fontId="3" fillId="0" borderId="7" xfId="0" applyFont="1" applyBorder="1"/>
    <xf numFmtId="1" fontId="3" fillId="0" borderId="6" xfId="0" applyNumberFormat="1" applyFont="1" applyBorder="1"/>
    <xf numFmtId="1" fontId="3" fillId="0" borderId="9" xfId="0" applyNumberFormat="1" applyFont="1" applyBorder="1"/>
  </cellXfs>
  <cellStyles count="1">
    <cellStyle name="Normal" xfId="0" builtinId="0"/>
  </cellStyles>
  <dxfs count="20">
    <dxf>
      <font>
        <b/>
        <i val="0"/>
        <family val="2"/>
      </font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family val="2"/>
      </font>
    </dxf>
    <dxf>
      <font>
        <b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family val="2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497F4-9EB1-4BD1-87A4-A977A1649309}" name="Table1" displayName="Table1" ref="A1:H36" totalsRowShown="0" headerRowDxfId="12" dataDxfId="11" headerRowBorderDxfId="18" tableBorderDxfId="19" totalsRowBorderDxfId="17">
  <autoFilter ref="A1:H36" xr:uid="{D04497F4-9EB1-4BD1-87A4-A977A1649309}"/>
  <tableColumns count="8">
    <tableColumn id="1" xr3:uid="{0A53BCAB-C5AF-46C9-95B6-74A378CCACA3}" name="Product ID" dataDxfId="16"/>
    <tableColumn id="2" xr3:uid="{978C87B6-5C12-43A3-936A-57A039DABB92}" name="Product Name" dataDxfId="15"/>
    <tableColumn id="3" xr3:uid="{18CC49EE-435C-4DF3-97D3-012A7A6C95E7}" name="Category" dataDxfId="14"/>
    <tableColumn id="4" xr3:uid="{BFBFB219-1D95-4FAC-B176-8F57BEBD1C7A}" name="Price ($)" dataDxfId="13"/>
    <tableColumn id="5" xr3:uid="{267E7E9B-54BB-44C6-8B8C-0FA0AAB499E8}" name="Price Range" dataDxfId="10">
      <calculatedColumnFormula>IF(D2&gt;=500,"High Price","Standard Price")</calculatedColumnFormula>
    </tableColumn>
    <tableColumn id="6" xr3:uid="{040711B9-8FF9-4732-AF8C-328E014C34D2}" name="Day" dataDxfId="9">
      <calculatedColumnFormula>LEFT(A2,2)</calculatedColumnFormula>
    </tableColumn>
    <tableColumn id="7" xr3:uid="{CEF735E3-D819-4D80-A62E-86C94C6467F7}" name="Country Code" dataDxfId="8">
      <calculatedColumnFormula>RIGHT(A2,2)</calculatedColumnFormula>
    </tableColumn>
    <tableColumn id="8" xr3:uid="{44562365-CDE3-43E5-9D28-7F41081EE72F}" name="Month" dataDxfId="7">
      <calculatedColumnFormula>MID(A2,4,3)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B37DAA-589A-4742-9BA4-8D0D86F8666A}" name="Table2" displayName="Table2" ref="K1:L8" totalsRowShown="0" headerRowDxfId="2" dataDxfId="1" headerRowBorderDxfId="5" tableBorderDxfId="6" totalsRowBorderDxfId="4">
  <autoFilter ref="K1:L8" xr:uid="{1DB37DAA-589A-4742-9BA4-8D0D86F8666A}"/>
  <tableColumns count="2">
    <tableColumn id="1" xr3:uid="{B4D76528-C40D-419D-A0A1-3810AED64096}" name="TASK" dataDxfId="3"/>
    <tableColumn id="3" xr3:uid="{62E8E883-2EC4-49CD-8BF8-D748BB3B16CF}" name="Result" dataDxfId="0">
      <calculatedColumnFormula array="1">Table1[Price ($)]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6"/>
  <sheetViews>
    <sheetView tabSelected="1" zoomScale="64" workbookViewId="0">
      <selection activeCell="H43" sqref="H43"/>
    </sheetView>
  </sheetViews>
  <sheetFormatPr defaultColWidth="12.6640625" defaultRowHeight="15.75" customHeight="1" x14ac:dyDescent="0.25"/>
  <cols>
    <col min="2" max="2" width="19.109375" customWidth="1"/>
    <col min="3" max="3" width="16.5546875" customWidth="1"/>
    <col min="5" max="5" width="22.77734375" customWidth="1"/>
    <col min="7" max="8" width="16.6640625" customWidth="1"/>
    <col min="11" max="11" width="58.77734375" customWidth="1"/>
    <col min="12" max="12" width="17.664062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78</v>
      </c>
      <c r="F1" s="2" t="s">
        <v>79</v>
      </c>
      <c r="G1" s="2" t="s">
        <v>80</v>
      </c>
      <c r="H1" s="3" t="s">
        <v>81</v>
      </c>
      <c r="K1" s="1" t="s">
        <v>82</v>
      </c>
      <c r="L1" s="3" t="s">
        <v>83</v>
      </c>
    </row>
    <row r="2" spans="1:12" x14ac:dyDescent="0.25">
      <c r="A2" s="4" t="s">
        <v>4</v>
      </c>
      <c r="B2" s="5" t="s">
        <v>5</v>
      </c>
      <c r="C2" s="5" t="s">
        <v>6</v>
      </c>
      <c r="D2" s="10">
        <v>650</v>
      </c>
      <c r="E2" s="5" t="str">
        <f t="shared" ref="E2:E36" si="0">IF(D2&gt;=500,"High Price","Standard Price")</f>
        <v>High Price</v>
      </c>
      <c r="F2" s="5" t="str">
        <f t="shared" ref="F2:F36" si="1">LEFT(A2,2)</f>
        <v>01</v>
      </c>
      <c r="G2" s="5" t="str">
        <f t="shared" ref="G2:G36" si="2">RIGHT(A2,2)</f>
        <v>IN</v>
      </c>
      <c r="H2" s="6" t="str">
        <f t="shared" ref="H2:H36" si="3">MID(A2,4,3)</f>
        <v>Jan</v>
      </c>
      <c r="K2" s="12" t="s">
        <v>84</v>
      </c>
      <c r="L2" s="14">
        <f>SUM(D2:D36)</f>
        <v>22302</v>
      </c>
    </row>
    <row r="3" spans="1:12" x14ac:dyDescent="0.25">
      <c r="A3" s="4" t="s">
        <v>7</v>
      </c>
      <c r="B3" s="5" t="s">
        <v>8</v>
      </c>
      <c r="C3" s="5" t="s">
        <v>9</v>
      </c>
      <c r="D3" s="10">
        <v>45</v>
      </c>
      <c r="E3" s="5" t="str">
        <f t="shared" si="0"/>
        <v>Standard Price</v>
      </c>
      <c r="F3" s="5" t="str">
        <f t="shared" si="1"/>
        <v>02</v>
      </c>
      <c r="G3" s="5" t="str">
        <f t="shared" si="2"/>
        <v>US</v>
      </c>
      <c r="H3" s="6" t="str">
        <f t="shared" si="3"/>
        <v>Jan</v>
      </c>
      <c r="K3" s="12" t="s">
        <v>85</v>
      </c>
      <c r="L3" s="14">
        <f>COUNT(D2:D36)</f>
        <v>35</v>
      </c>
    </row>
    <row r="4" spans="1:12" x14ac:dyDescent="0.25">
      <c r="A4" s="4" t="s">
        <v>10</v>
      </c>
      <c r="B4" s="5" t="s">
        <v>11</v>
      </c>
      <c r="C4" s="5" t="s">
        <v>12</v>
      </c>
      <c r="D4" s="10">
        <v>780</v>
      </c>
      <c r="E4" s="5" t="str">
        <f t="shared" si="0"/>
        <v>High Price</v>
      </c>
      <c r="F4" s="5" t="str">
        <f t="shared" si="1"/>
        <v>03</v>
      </c>
      <c r="G4" s="5" t="str">
        <f t="shared" si="2"/>
        <v>UK</v>
      </c>
      <c r="H4" s="6" t="str">
        <f t="shared" si="3"/>
        <v>Feb</v>
      </c>
      <c r="K4" s="12" t="s">
        <v>86</v>
      </c>
      <c r="L4" s="14">
        <f>AVERAGE(D2:D36)</f>
        <v>637.20000000000005</v>
      </c>
    </row>
    <row r="5" spans="1:12" x14ac:dyDescent="0.25">
      <c r="A5" s="4" t="s">
        <v>13</v>
      </c>
      <c r="B5" s="5" t="s">
        <v>14</v>
      </c>
      <c r="C5" s="5" t="s">
        <v>6</v>
      </c>
      <c r="D5" s="10">
        <v>120</v>
      </c>
      <c r="E5" s="5" t="str">
        <f t="shared" si="0"/>
        <v>Standard Price</v>
      </c>
      <c r="F5" s="5" t="str">
        <f t="shared" si="1"/>
        <v>04</v>
      </c>
      <c r="G5" s="5" t="str">
        <f t="shared" si="2"/>
        <v>IN</v>
      </c>
      <c r="H5" s="6" t="str">
        <f t="shared" si="3"/>
        <v>Feb</v>
      </c>
      <c r="K5" s="12" t="s">
        <v>87</v>
      </c>
      <c r="L5" s="14">
        <f>MIN(D2:D36)</f>
        <v>35</v>
      </c>
    </row>
    <row r="6" spans="1:12" x14ac:dyDescent="0.25">
      <c r="A6" s="4" t="s">
        <v>15</v>
      </c>
      <c r="B6" s="5" t="s">
        <v>16</v>
      </c>
      <c r="C6" s="5" t="s">
        <v>17</v>
      </c>
      <c r="D6" s="10">
        <v>180</v>
      </c>
      <c r="E6" s="5" t="str">
        <f t="shared" si="0"/>
        <v>Standard Price</v>
      </c>
      <c r="F6" s="5" t="str">
        <f t="shared" si="1"/>
        <v>05</v>
      </c>
      <c r="G6" s="5" t="str">
        <f t="shared" si="2"/>
        <v>CA</v>
      </c>
      <c r="H6" s="6" t="str">
        <f t="shared" si="3"/>
        <v>Mar</v>
      </c>
      <c r="K6" s="12" t="s">
        <v>88</v>
      </c>
      <c r="L6" s="14">
        <f>MAX(D2:D36)</f>
        <v>3499</v>
      </c>
    </row>
    <row r="7" spans="1:12" x14ac:dyDescent="0.25">
      <c r="A7" s="4" t="s">
        <v>18</v>
      </c>
      <c r="B7" s="5" t="s">
        <v>19</v>
      </c>
      <c r="C7" s="5" t="s">
        <v>17</v>
      </c>
      <c r="D7" s="10">
        <v>540</v>
      </c>
      <c r="E7" s="5" t="str">
        <f t="shared" si="0"/>
        <v>High Price</v>
      </c>
      <c r="F7" s="5" t="str">
        <f t="shared" si="1"/>
        <v>06</v>
      </c>
      <c r="G7" s="5" t="str">
        <f t="shared" si="2"/>
        <v>IN</v>
      </c>
      <c r="H7" s="6" t="str">
        <f t="shared" si="3"/>
        <v>Mar</v>
      </c>
      <c r="K7" s="12" t="s">
        <v>89</v>
      </c>
      <c r="L7" s="14">
        <f>SUMIF(C2:C36,"Electronics",D2:D36)</f>
        <v>12164</v>
      </c>
    </row>
    <row r="8" spans="1:12" x14ac:dyDescent="0.25">
      <c r="A8" s="4" t="s">
        <v>20</v>
      </c>
      <c r="B8" s="5" t="s">
        <v>21</v>
      </c>
      <c r="C8" s="5" t="s">
        <v>9</v>
      </c>
      <c r="D8" s="10">
        <v>75</v>
      </c>
      <c r="E8" s="5" t="str">
        <f t="shared" si="0"/>
        <v>Standard Price</v>
      </c>
      <c r="F8" s="5" t="str">
        <f t="shared" si="1"/>
        <v>07</v>
      </c>
      <c r="G8" s="5" t="str">
        <f t="shared" si="2"/>
        <v>US</v>
      </c>
      <c r="H8" s="6" t="str">
        <f t="shared" si="3"/>
        <v>Apr</v>
      </c>
      <c r="K8" s="13" t="s">
        <v>90</v>
      </c>
      <c r="L8" s="15">
        <f>COUNTIF(D2:D36,"&lt;100")</f>
        <v>7</v>
      </c>
    </row>
    <row r="9" spans="1:12" x14ac:dyDescent="0.25">
      <c r="A9" s="4" t="s">
        <v>22</v>
      </c>
      <c r="B9" s="5" t="s">
        <v>23</v>
      </c>
      <c r="C9" s="5" t="s">
        <v>6</v>
      </c>
      <c r="D9" s="10">
        <v>1250</v>
      </c>
      <c r="E9" s="5" t="str">
        <f t="shared" si="0"/>
        <v>High Price</v>
      </c>
      <c r="F9" s="5" t="str">
        <f t="shared" si="1"/>
        <v>08</v>
      </c>
      <c r="G9" s="5" t="str">
        <f t="shared" si="2"/>
        <v>UK</v>
      </c>
      <c r="H9" s="6" t="str">
        <f t="shared" si="3"/>
        <v>Apr</v>
      </c>
      <c r="K9" s="11"/>
    </row>
    <row r="10" spans="1:12" x14ac:dyDescent="0.25">
      <c r="A10" s="4" t="s">
        <v>24</v>
      </c>
      <c r="B10" s="5" t="s">
        <v>25</v>
      </c>
      <c r="C10" s="5" t="s">
        <v>12</v>
      </c>
      <c r="D10" s="10">
        <v>399</v>
      </c>
      <c r="E10" s="5" t="str">
        <f t="shared" si="0"/>
        <v>Standard Price</v>
      </c>
      <c r="F10" s="5" t="str">
        <f t="shared" si="1"/>
        <v>09</v>
      </c>
      <c r="G10" s="5" t="str">
        <f t="shared" si="2"/>
        <v>IN</v>
      </c>
      <c r="H10" s="6" t="str">
        <f t="shared" si="3"/>
        <v>May</v>
      </c>
      <c r="K10" s="11"/>
    </row>
    <row r="11" spans="1:12" x14ac:dyDescent="0.25">
      <c r="A11" s="4" t="s">
        <v>26</v>
      </c>
      <c r="B11" s="5" t="s">
        <v>27</v>
      </c>
      <c r="C11" s="5" t="s">
        <v>17</v>
      </c>
      <c r="D11" s="10">
        <v>95</v>
      </c>
      <c r="E11" s="5" t="str">
        <f t="shared" si="0"/>
        <v>Standard Price</v>
      </c>
      <c r="F11" s="5" t="str">
        <f t="shared" si="1"/>
        <v>10</v>
      </c>
      <c r="G11" s="5" t="str">
        <f t="shared" si="2"/>
        <v>CA</v>
      </c>
      <c r="H11" s="6" t="str">
        <f t="shared" si="3"/>
        <v>May</v>
      </c>
      <c r="K11" s="11"/>
    </row>
    <row r="12" spans="1:12" x14ac:dyDescent="0.25">
      <c r="A12" s="4" t="s">
        <v>28</v>
      </c>
      <c r="B12" s="5" t="s">
        <v>29</v>
      </c>
      <c r="C12" s="5" t="s">
        <v>6</v>
      </c>
      <c r="D12" s="10">
        <v>499</v>
      </c>
      <c r="E12" s="5" t="str">
        <f t="shared" si="0"/>
        <v>Standard Price</v>
      </c>
      <c r="F12" s="5" t="str">
        <f t="shared" si="1"/>
        <v>11</v>
      </c>
      <c r="G12" s="5" t="str">
        <f t="shared" si="2"/>
        <v>IN</v>
      </c>
      <c r="H12" s="6" t="str">
        <f t="shared" si="3"/>
        <v>Jun</v>
      </c>
      <c r="K12" s="11"/>
    </row>
    <row r="13" spans="1:12" x14ac:dyDescent="0.25">
      <c r="A13" s="4" t="s">
        <v>30</v>
      </c>
      <c r="B13" s="5" t="s">
        <v>31</v>
      </c>
      <c r="C13" s="5" t="s">
        <v>9</v>
      </c>
      <c r="D13" s="10">
        <v>60</v>
      </c>
      <c r="E13" s="5" t="str">
        <f t="shared" si="0"/>
        <v>Standard Price</v>
      </c>
      <c r="F13" s="5" t="str">
        <f t="shared" si="1"/>
        <v>12</v>
      </c>
      <c r="G13" s="5" t="str">
        <f t="shared" si="2"/>
        <v>US</v>
      </c>
      <c r="H13" s="6" t="str">
        <f t="shared" si="3"/>
        <v>Jun</v>
      </c>
      <c r="K13" s="11"/>
    </row>
    <row r="14" spans="1:12" x14ac:dyDescent="0.25">
      <c r="A14" s="4" t="s">
        <v>32</v>
      </c>
      <c r="B14" s="5" t="s">
        <v>33</v>
      </c>
      <c r="C14" s="5" t="s">
        <v>12</v>
      </c>
      <c r="D14" s="10">
        <v>1899</v>
      </c>
      <c r="E14" s="5" t="str">
        <f t="shared" si="0"/>
        <v>High Price</v>
      </c>
      <c r="F14" s="5" t="str">
        <f t="shared" si="1"/>
        <v>13</v>
      </c>
      <c r="G14" s="5" t="str">
        <f t="shared" si="2"/>
        <v>UK</v>
      </c>
      <c r="H14" s="6" t="str">
        <f t="shared" si="3"/>
        <v>Jul</v>
      </c>
    </row>
    <row r="15" spans="1:12" x14ac:dyDescent="0.25">
      <c r="A15" s="4" t="s">
        <v>34</v>
      </c>
      <c r="B15" s="5" t="s">
        <v>35</v>
      </c>
      <c r="C15" s="5" t="s">
        <v>6</v>
      </c>
      <c r="D15" s="10">
        <v>149</v>
      </c>
      <c r="E15" s="5" t="str">
        <f t="shared" si="0"/>
        <v>Standard Price</v>
      </c>
      <c r="F15" s="5" t="str">
        <f t="shared" si="1"/>
        <v>14</v>
      </c>
      <c r="G15" s="5" t="str">
        <f t="shared" si="2"/>
        <v>IN</v>
      </c>
      <c r="H15" s="6" t="str">
        <f t="shared" si="3"/>
        <v>Jul</v>
      </c>
    </row>
    <row r="16" spans="1:12" x14ac:dyDescent="0.25">
      <c r="A16" s="4" t="s">
        <v>36</v>
      </c>
      <c r="B16" s="5" t="s">
        <v>37</v>
      </c>
      <c r="C16" s="5" t="s">
        <v>17</v>
      </c>
      <c r="D16" s="10">
        <v>299</v>
      </c>
      <c r="E16" s="5" t="str">
        <f t="shared" si="0"/>
        <v>Standard Price</v>
      </c>
      <c r="F16" s="5" t="str">
        <f t="shared" si="1"/>
        <v>15</v>
      </c>
      <c r="G16" s="5" t="str">
        <f t="shared" si="2"/>
        <v>CA</v>
      </c>
      <c r="H16" s="6" t="str">
        <f t="shared" si="3"/>
        <v>Aug</v>
      </c>
    </row>
    <row r="17" spans="1:8" x14ac:dyDescent="0.25">
      <c r="A17" s="4" t="s">
        <v>38</v>
      </c>
      <c r="B17" s="5" t="s">
        <v>39</v>
      </c>
      <c r="C17" s="5" t="s">
        <v>6</v>
      </c>
      <c r="D17" s="10">
        <v>3499</v>
      </c>
      <c r="E17" s="5" t="str">
        <f t="shared" si="0"/>
        <v>High Price</v>
      </c>
      <c r="F17" s="5" t="str">
        <f t="shared" si="1"/>
        <v>16</v>
      </c>
      <c r="G17" s="5" t="str">
        <f t="shared" si="2"/>
        <v>IN</v>
      </c>
      <c r="H17" s="6" t="str">
        <f t="shared" si="3"/>
        <v>Aug</v>
      </c>
    </row>
    <row r="18" spans="1:8" x14ac:dyDescent="0.25">
      <c r="A18" s="4" t="s">
        <v>40</v>
      </c>
      <c r="B18" s="5" t="s">
        <v>41</v>
      </c>
      <c r="C18" s="5" t="s">
        <v>9</v>
      </c>
      <c r="D18" s="10">
        <v>110</v>
      </c>
      <c r="E18" s="5" t="str">
        <f t="shared" si="0"/>
        <v>Standard Price</v>
      </c>
      <c r="F18" s="5" t="str">
        <f t="shared" si="1"/>
        <v>17</v>
      </c>
      <c r="G18" s="5" t="str">
        <f t="shared" si="2"/>
        <v>US</v>
      </c>
      <c r="H18" s="6" t="str">
        <f t="shared" si="3"/>
        <v>Sep</v>
      </c>
    </row>
    <row r="19" spans="1:8" x14ac:dyDescent="0.25">
      <c r="A19" s="4" t="s">
        <v>42</v>
      </c>
      <c r="B19" s="5" t="s">
        <v>43</v>
      </c>
      <c r="C19" s="5" t="s">
        <v>12</v>
      </c>
      <c r="D19" s="10">
        <v>650</v>
      </c>
      <c r="E19" s="5" t="str">
        <f t="shared" si="0"/>
        <v>High Price</v>
      </c>
      <c r="F19" s="5" t="str">
        <f t="shared" si="1"/>
        <v>18</v>
      </c>
      <c r="G19" s="5" t="str">
        <f t="shared" si="2"/>
        <v>UK</v>
      </c>
      <c r="H19" s="6" t="str">
        <f t="shared" si="3"/>
        <v>Sep</v>
      </c>
    </row>
    <row r="20" spans="1:8" x14ac:dyDescent="0.25">
      <c r="A20" s="4" t="s">
        <v>44</v>
      </c>
      <c r="B20" s="5" t="s">
        <v>45</v>
      </c>
      <c r="C20" s="5" t="s">
        <v>17</v>
      </c>
      <c r="D20" s="10">
        <v>220</v>
      </c>
      <c r="E20" s="5" t="str">
        <f t="shared" si="0"/>
        <v>Standard Price</v>
      </c>
      <c r="F20" s="5" t="str">
        <f t="shared" si="1"/>
        <v>19</v>
      </c>
      <c r="G20" s="5" t="str">
        <f t="shared" si="2"/>
        <v>IN</v>
      </c>
      <c r="H20" s="6" t="str">
        <f t="shared" si="3"/>
        <v>Oct</v>
      </c>
    </row>
    <row r="21" spans="1:8" x14ac:dyDescent="0.25">
      <c r="A21" s="4" t="s">
        <v>46</v>
      </c>
      <c r="B21" s="5" t="s">
        <v>47</v>
      </c>
      <c r="C21" s="5" t="s">
        <v>6</v>
      </c>
      <c r="D21" s="5">
        <v>899</v>
      </c>
      <c r="E21" s="5" t="str">
        <f t="shared" si="0"/>
        <v>High Price</v>
      </c>
      <c r="F21" s="5" t="str">
        <f t="shared" si="1"/>
        <v>20</v>
      </c>
      <c r="G21" s="5" t="str">
        <f t="shared" si="2"/>
        <v>CA</v>
      </c>
      <c r="H21" s="6" t="str">
        <f t="shared" si="3"/>
        <v>Oct</v>
      </c>
    </row>
    <row r="22" spans="1:8" x14ac:dyDescent="0.25">
      <c r="A22" s="4" t="s">
        <v>48</v>
      </c>
      <c r="B22" s="5" t="s">
        <v>49</v>
      </c>
      <c r="C22" s="5" t="s">
        <v>9</v>
      </c>
      <c r="D22" s="5">
        <v>280</v>
      </c>
      <c r="E22" s="5" t="str">
        <f t="shared" si="0"/>
        <v>Standard Price</v>
      </c>
      <c r="F22" s="5" t="str">
        <f t="shared" si="1"/>
        <v>21</v>
      </c>
      <c r="G22" s="5" t="str">
        <f t="shared" si="2"/>
        <v>IN</v>
      </c>
      <c r="H22" s="6" t="str">
        <f t="shared" si="3"/>
        <v>Nov</v>
      </c>
    </row>
    <row r="23" spans="1:8" x14ac:dyDescent="0.25">
      <c r="A23" s="4" t="s">
        <v>50</v>
      </c>
      <c r="B23" s="5" t="s">
        <v>51</v>
      </c>
      <c r="C23" s="5" t="s">
        <v>12</v>
      </c>
      <c r="D23" s="5">
        <v>1499</v>
      </c>
      <c r="E23" s="5" t="str">
        <f t="shared" si="0"/>
        <v>High Price</v>
      </c>
      <c r="F23" s="5" t="str">
        <f t="shared" si="1"/>
        <v>22</v>
      </c>
      <c r="G23" s="5" t="str">
        <f t="shared" si="2"/>
        <v>US</v>
      </c>
      <c r="H23" s="6" t="str">
        <f t="shared" si="3"/>
        <v>Nov</v>
      </c>
    </row>
    <row r="24" spans="1:8" x14ac:dyDescent="0.25">
      <c r="A24" s="4" t="s">
        <v>52</v>
      </c>
      <c r="B24" s="5" t="s">
        <v>53</v>
      </c>
      <c r="C24" s="5" t="s">
        <v>17</v>
      </c>
      <c r="D24" s="5">
        <v>999</v>
      </c>
      <c r="E24" s="5" t="str">
        <f t="shared" si="0"/>
        <v>High Price</v>
      </c>
      <c r="F24" s="5" t="str">
        <f t="shared" si="1"/>
        <v>23</v>
      </c>
      <c r="G24" s="5" t="str">
        <f t="shared" si="2"/>
        <v>UK</v>
      </c>
      <c r="H24" s="6" t="str">
        <f t="shared" si="3"/>
        <v>Dec</v>
      </c>
    </row>
    <row r="25" spans="1:8" x14ac:dyDescent="0.25">
      <c r="A25" s="4" t="s">
        <v>54</v>
      </c>
      <c r="B25" s="5" t="s">
        <v>55</v>
      </c>
      <c r="C25" s="5" t="s">
        <v>6</v>
      </c>
      <c r="D25" s="5">
        <v>799</v>
      </c>
      <c r="E25" s="5" t="str">
        <f t="shared" si="0"/>
        <v>High Price</v>
      </c>
      <c r="F25" s="5" t="str">
        <f t="shared" si="1"/>
        <v>24</v>
      </c>
      <c r="G25" s="5" t="str">
        <f t="shared" si="2"/>
        <v>IN</v>
      </c>
      <c r="H25" s="6" t="str">
        <f t="shared" si="3"/>
        <v>Dec</v>
      </c>
    </row>
    <row r="26" spans="1:8" x14ac:dyDescent="0.25">
      <c r="A26" s="4" t="s">
        <v>56</v>
      </c>
      <c r="B26" s="5" t="s">
        <v>57</v>
      </c>
      <c r="C26" s="5" t="s">
        <v>9</v>
      </c>
      <c r="D26" s="5">
        <v>35</v>
      </c>
      <c r="E26" s="5" t="str">
        <f t="shared" si="0"/>
        <v>Standard Price</v>
      </c>
      <c r="F26" s="5" t="str">
        <f t="shared" si="1"/>
        <v>25</v>
      </c>
      <c r="G26" s="5" t="str">
        <f t="shared" si="2"/>
        <v>CA</v>
      </c>
      <c r="H26" s="6" t="str">
        <f t="shared" si="3"/>
        <v>Jan</v>
      </c>
    </row>
    <row r="27" spans="1:8" x14ac:dyDescent="0.25">
      <c r="A27" s="4" t="s">
        <v>58</v>
      </c>
      <c r="B27" s="5" t="s">
        <v>59</v>
      </c>
      <c r="C27" s="5" t="s">
        <v>17</v>
      </c>
      <c r="D27" s="5">
        <v>450</v>
      </c>
      <c r="E27" s="5" t="str">
        <f t="shared" si="0"/>
        <v>Standard Price</v>
      </c>
      <c r="F27" s="5" t="str">
        <f t="shared" si="1"/>
        <v>26</v>
      </c>
      <c r="G27" s="5" t="str">
        <f t="shared" si="2"/>
        <v>IN</v>
      </c>
      <c r="H27" s="6" t="str">
        <f t="shared" si="3"/>
        <v>Feb</v>
      </c>
    </row>
    <row r="28" spans="1:8" x14ac:dyDescent="0.25">
      <c r="A28" s="4" t="s">
        <v>60</v>
      </c>
      <c r="B28" s="5" t="s">
        <v>61</v>
      </c>
      <c r="C28" s="5" t="s">
        <v>6</v>
      </c>
      <c r="D28" s="5">
        <v>2499</v>
      </c>
      <c r="E28" s="5" t="str">
        <f t="shared" si="0"/>
        <v>High Price</v>
      </c>
      <c r="F28" s="5" t="str">
        <f t="shared" si="1"/>
        <v>27</v>
      </c>
      <c r="G28" s="5" t="str">
        <f t="shared" si="2"/>
        <v>US</v>
      </c>
      <c r="H28" s="6" t="str">
        <f t="shared" si="3"/>
        <v>Mar</v>
      </c>
    </row>
    <row r="29" spans="1:8" x14ac:dyDescent="0.25">
      <c r="A29" s="4" t="s">
        <v>62</v>
      </c>
      <c r="B29" s="5" t="s">
        <v>63</v>
      </c>
      <c r="C29" s="5" t="s">
        <v>12</v>
      </c>
      <c r="D29" s="5">
        <v>299</v>
      </c>
      <c r="E29" s="5" t="str">
        <f t="shared" si="0"/>
        <v>Standard Price</v>
      </c>
      <c r="F29" s="5" t="str">
        <f t="shared" si="1"/>
        <v>28</v>
      </c>
      <c r="G29" s="5" t="str">
        <f t="shared" si="2"/>
        <v>UK</v>
      </c>
      <c r="H29" s="6" t="str">
        <f t="shared" si="3"/>
        <v>Apr</v>
      </c>
    </row>
    <row r="30" spans="1:8" x14ac:dyDescent="0.25">
      <c r="A30" s="4" t="s">
        <v>64</v>
      </c>
      <c r="B30" s="5" t="s">
        <v>65</v>
      </c>
      <c r="C30" s="5" t="s">
        <v>9</v>
      </c>
      <c r="D30" s="5">
        <v>90</v>
      </c>
      <c r="E30" s="5" t="str">
        <f t="shared" si="0"/>
        <v>Standard Price</v>
      </c>
      <c r="F30" s="5" t="str">
        <f t="shared" si="1"/>
        <v>29</v>
      </c>
      <c r="G30" s="5" t="str">
        <f t="shared" si="2"/>
        <v>IN</v>
      </c>
      <c r="H30" s="6" t="str">
        <f t="shared" si="3"/>
        <v>May</v>
      </c>
    </row>
    <row r="31" spans="1:8" x14ac:dyDescent="0.25">
      <c r="A31" s="4" t="s">
        <v>66</v>
      </c>
      <c r="B31" s="5" t="s">
        <v>67</v>
      </c>
      <c r="C31" s="5" t="s">
        <v>17</v>
      </c>
      <c r="D31" s="5">
        <v>320</v>
      </c>
      <c r="E31" s="5" t="str">
        <f t="shared" si="0"/>
        <v>Standard Price</v>
      </c>
      <c r="F31" s="5" t="str">
        <f t="shared" si="1"/>
        <v>30</v>
      </c>
      <c r="G31" s="5" t="str">
        <f t="shared" si="2"/>
        <v>CA</v>
      </c>
      <c r="H31" s="6" t="str">
        <f t="shared" si="3"/>
        <v>Jun</v>
      </c>
    </row>
    <row r="32" spans="1:8" x14ac:dyDescent="0.25">
      <c r="A32" s="4" t="s">
        <v>68</v>
      </c>
      <c r="B32" s="5" t="s">
        <v>69</v>
      </c>
      <c r="C32" s="5" t="s">
        <v>6</v>
      </c>
      <c r="D32" s="5">
        <v>1450</v>
      </c>
      <c r="E32" s="5" t="str">
        <f t="shared" si="0"/>
        <v>High Price</v>
      </c>
      <c r="F32" s="5" t="str">
        <f t="shared" si="1"/>
        <v>31</v>
      </c>
      <c r="G32" s="5" t="str">
        <f t="shared" si="2"/>
        <v>IN</v>
      </c>
      <c r="H32" s="6" t="str">
        <f t="shared" si="3"/>
        <v>Jul</v>
      </c>
    </row>
    <row r="33" spans="1:8" x14ac:dyDescent="0.25">
      <c r="A33" s="4" t="s">
        <v>70</v>
      </c>
      <c r="B33" s="5" t="s">
        <v>71</v>
      </c>
      <c r="C33" s="5" t="s">
        <v>17</v>
      </c>
      <c r="D33" s="5">
        <v>85</v>
      </c>
      <c r="E33" s="5" t="str">
        <f t="shared" si="0"/>
        <v>Standard Price</v>
      </c>
      <c r="F33" s="5" t="str">
        <f t="shared" si="1"/>
        <v>32</v>
      </c>
      <c r="G33" s="5" t="str">
        <f t="shared" si="2"/>
        <v>US</v>
      </c>
      <c r="H33" s="6" t="str">
        <f t="shared" si="3"/>
        <v>Aug</v>
      </c>
    </row>
    <row r="34" spans="1:8" x14ac:dyDescent="0.25">
      <c r="A34" s="4" t="s">
        <v>72</v>
      </c>
      <c r="B34" s="5" t="s">
        <v>73</v>
      </c>
      <c r="C34" s="5" t="s">
        <v>12</v>
      </c>
      <c r="D34" s="5">
        <v>599</v>
      </c>
      <c r="E34" s="5" t="str">
        <f t="shared" si="0"/>
        <v>High Price</v>
      </c>
      <c r="F34" s="5" t="str">
        <f t="shared" si="1"/>
        <v>33</v>
      </c>
      <c r="G34" s="5" t="str">
        <f t="shared" si="2"/>
        <v>UK</v>
      </c>
      <c r="H34" s="6" t="str">
        <f t="shared" si="3"/>
        <v>Sep</v>
      </c>
    </row>
    <row r="35" spans="1:8" x14ac:dyDescent="0.25">
      <c r="A35" s="4" t="s">
        <v>74</v>
      </c>
      <c r="B35" s="5" t="s">
        <v>75</v>
      </c>
      <c r="C35" s="5" t="s">
        <v>6</v>
      </c>
      <c r="D35" s="5">
        <v>350</v>
      </c>
      <c r="E35" s="5" t="str">
        <f t="shared" si="0"/>
        <v>Standard Price</v>
      </c>
      <c r="F35" s="5" t="str">
        <f t="shared" si="1"/>
        <v>34</v>
      </c>
      <c r="G35" s="5" t="str">
        <f t="shared" si="2"/>
        <v>IN</v>
      </c>
      <c r="H35" s="6" t="str">
        <f t="shared" si="3"/>
        <v>Oct</v>
      </c>
    </row>
    <row r="36" spans="1:8" x14ac:dyDescent="0.25">
      <c r="A36" s="7" t="s">
        <v>76</v>
      </c>
      <c r="B36" s="8" t="s">
        <v>77</v>
      </c>
      <c r="C36" s="8" t="s">
        <v>9</v>
      </c>
      <c r="D36" s="8">
        <v>130</v>
      </c>
      <c r="E36" s="5" t="str">
        <f t="shared" si="0"/>
        <v>Standard Price</v>
      </c>
      <c r="F36" s="8" t="str">
        <f t="shared" si="1"/>
        <v>35</v>
      </c>
      <c r="G36" s="8" t="str">
        <f t="shared" si="2"/>
        <v>CA</v>
      </c>
      <c r="H36" s="9" t="str">
        <f t="shared" si="3"/>
        <v>Nov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Dhwani Sudheer</dc:creator>
  <cp:lastModifiedBy>Dhwani Sudheer</cp:lastModifiedBy>
  <dcterms:created xsi:type="dcterms:W3CDTF">2026-10-18T15:11:39Z</dcterms:created>
  <dcterms:modified xsi:type="dcterms:W3CDTF">2026-10-18T15:11:39Z</dcterms:modified>
</cp:coreProperties>
</file>